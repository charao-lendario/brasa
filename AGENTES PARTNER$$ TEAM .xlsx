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andro.pontoni/Library/Mobile Documents/com~apple~CloudDocs/2 - Pontoni Financial Corp/1 - FIVE RINGS/A - GESTÃO/PROJETO CELSO CECCONI/"/>
    </mc:Choice>
  </mc:AlternateContent>
  <xr:revisionPtr revIDLastSave="0" documentId="13_ncr:1_{24265D45-7285-B54B-92F4-11BB4004CF7B}" xr6:coauthVersionLast="47" xr6:coauthVersionMax="47" xr10:uidLastSave="{00000000-0000-0000-0000-000000000000}"/>
  <bookViews>
    <workbookView xWindow="5060" yWindow="600" windowWidth="22740" windowHeight="15500" xr2:uid="{00000000-000D-0000-FFFF-FFFF00000000}"/>
  </bookViews>
  <sheets>
    <sheet name="GERAL" sheetId="2" r:id="rId1"/>
    <sheet name="RESUMO" sheetId="5" r:id="rId2"/>
  </sheets>
  <definedNames>
    <definedName name="_xlnm._FilterDatabase" localSheetId="0" hidden="1">GERAL!$A$1:$M$34</definedName>
  </definedNames>
  <calcPr calcId="191029" forceFullCalc="1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<sst xmlns="http://schemas.openxmlformats.org/spreadsheetml/2006/main" count="392" uniqueCount="92">
  <si>
    <t>Name</t>
  </si>
  <si>
    <t>Upline Agent</t>
  </si>
  <si>
    <t>Fernanda Pontoni</t>
  </si>
  <si>
    <t>Marcelo Augusto Andrade Antunes de Oliveira</t>
  </si>
  <si>
    <t>Eduardo Jorge Pyrrho Barbosa</t>
  </si>
  <si>
    <t>Liliam Kudrevicius de Freitas</t>
  </si>
  <si>
    <t>Luciana Lasmar</t>
  </si>
  <si>
    <t>Adriana Ribeiro Machado Urbano</t>
  </si>
  <si>
    <t>Raquel Montrond Figueroa</t>
  </si>
  <si>
    <t>Flavia Petroni</t>
  </si>
  <si>
    <t>Giuliana Petroni</t>
  </si>
  <si>
    <t>Antônio Rampazzo Neto</t>
  </si>
  <si>
    <t>Tatiane Sinhori</t>
  </si>
  <si>
    <t>Flavia S. L. Antonucci Demetrio</t>
  </si>
  <si>
    <t>Cláudio Roberto Wolff</t>
  </si>
  <si>
    <t>M4</t>
  </si>
  <si>
    <t>M2</t>
  </si>
  <si>
    <t>M1</t>
  </si>
  <si>
    <t>MENTORIAS</t>
  </si>
  <si>
    <t>Row Labels</t>
  </si>
  <si>
    <t>Grand Total</t>
  </si>
  <si>
    <t>M3</t>
  </si>
  <si>
    <t>BLUE AO BLACK</t>
  </si>
  <si>
    <t>20K AO  BLUE</t>
  </si>
  <si>
    <t>5 CLIENTES AO 20K</t>
  </si>
  <si>
    <t>MPP + 4</t>
  </si>
  <si>
    <t>TACI, VICTOR E MANU</t>
  </si>
  <si>
    <t>LÊ, LEMIKA, AGUI E VINI</t>
  </si>
  <si>
    <t>FÊ, MILTON E MARQUINHO</t>
  </si>
  <si>
    <t>QUEM</t>
  </si>
  <si>
    <t>NOME</t>
  </si>
  <si>
    <t>Jussara</t>
  </si>
  <si>
    <t>Daniela</t>
  </si>
  <si>
    <t>Fred</t>
  </si>
  <si>
    <t>Marcela marques</t>
  </si>
  <si>
    <t>Elisabete Almeida</t>
  </si>
  <si>
    <t>Aline Mangueira</t>
  </si>
  <si>
    <t>Maiara Michalowicz</t>
  </si>
  <si>
    <t>Louise</t>
  </si>
  <si>
    <t>Alexander</t>
  </si>
  <si>
    <t>Gisele</t>
  </si>
  <si>
    <t>M0</t>
  </si>
  <si>
    <t>LICENÇA</t>
  </si>
  <si>
    <t>JOSÉ MAURÍCIO</t>
  </si>
  <si>
    <t>Ademir Lopes</t>
  </si>
  <si>
    <t>Luciane Ribeiro</t>
  </si>
  <si>
    <t>Samira</t>
  </si>
  <si>
    <t>Ana Lazaro</t>
  </si>
  <si>
    <t>Renata Sorrilha</t>
  </si>
  <si>
    <t>Adriane Maeda</t>
  </si>
  <si>
    <t>Marco</t>
  </si>
  <si>
    <t xml:space="preserve">Pietro </t>
  </si>
  <si>
    <t>Ana Martins</t>
  </si>
  <si>
    <t>Ana Victoria</t>
  </si>
  <si>
    <t>Kleber Santos</t>
  </si>
  <si>
    <t>César Chimin</t>
  </si>
  <si>
    <t>Daniela Rodrigues</t>
  </si>
  <si>
    <t>Gisele Alves</t>
  </si>
  <si>
    <t>Jussara Wolff</t>
  </si>
  <si>
    <t>Marcela Marques</t>
  </si>
  <si>
    <t>Marco Tricarico</t>
  </si>
  <si>
    <t>Pietro Rampazzo</t>
  </si>
  <si>
    <t>Samie Mendes</t>
  </si>
  <si>
    <t>QUANDO</t>
  </si>
  <si>
    <t>BIA, GABBY</t>
  </si>
  <si>
    <t>CONCEITO PRINCIPAL</t>
  </si>
  <si>
    <t>PASSAR NA PROVA DO ESTADO</t>
  </si>
  <si>
    <t>FIELD TRAINING PARA SEU PRÓPRIO PLANO E OS PRIMEIROS 4 CLIENTES MAIS PRÓXIMOS</t>
  </si>
  <si>
    <t>CONVIDAR PALESTRAS, DESTRAVAR IUL E TERM, RECONHECER CLIENTE FECHADO SOZINHO (SAIR DO FIELD TRAINING)</t>
  </si>
  <si>
    <t>DESTRAVAR EVENTO PONTE, CONTATOS DE EMERGÊNCIA, MSP</t>
  </si>
  <si>
    <t>MSP AVANÇADO</t>
  </si>
  <si>
    <t>TERÇA 7PM</t>
  </si>
  <si>
    <t>SEGUNDA 8PM</t>
  </si>
  <si>
    <t>SEGUNDA 7PM</t>
  </si>
  <si>
    <t>Personal Credits Actual (last 12 month)</t>
  </si>
  <si>
    <t>Resultado</t>
  </si>
  <si>
    <t>Licenciado?</t>
  </si>
  <si>
    <t>Sim</t>
  </si>
  <si>
    <t>Alto</t>
  </si>
  <si>
    <t>Baixo</t>
  </si>
  <si>
    <t>Dependentes ou autonomo?</t>
  </si>
  <si>
    <t>Dependente</t>
  </si>
  <si>
    <t>Não</t>
  </si>
  <si>
    <t>Não (temporariamente)</t>
  </si>
  <si>
    <t>Independente</t>
  </si>
  <si>
    <t>Médio</t>
  </si>
  <si>
    <t>Giuliana Petroni / Flavia</t>
  </si>
  <si>
    <t>Acredito?</t>
  </si>
  <si>
    <t>Nenhum</t>
  </si>
  <si>
    <t>Baixissimo</t>
  </si>
  <si>
    <t>Sim (recém)</t>
  </si>
  <si>
    <t>Tempo na Agência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</si>
</sst>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1" applyAlignment="1">
      <alignment horizontal="center" vertical="center" wrapText="1"/>
    </xf>
    <xf numFmtId="0" fontId="0" fillId="4" borderId="0" xfId="0" applyFill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0" xfId="0" applyAlignment="1">
      <alignment horizontal="center"/>
    </xf>
    <xf numFmtId="164" fontId="0" fillId="4" borderId="0" xfId="0" applyNumberFormat="1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3" borderId="0" xfId="0" applyFont="1" applyFill="1" applyAlignment="1">
      <alignment horizontal="center" vertical="center" wrapText="1"/>
    </xf>
    <xf numFmtId="0" fontId="0" fillId="0" borderId="0" xfId="0" applyFill="1"/>
    <xf numFmtId="0" fontId="1" fillId="0" borderId="0" xfId="0" applyFont="1" applyFill="1"/>
    <xf numFmtId="164" fontId="0" fillId="0" borderId="0" xfId="0" applyNumberForma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Fill="1"/>
    <xf numFmtId="0" fontId="3" fillId="4" borderId="0" xfId="0" applyFont="1" applyFill="1"/>
    <xf numFmtId="0" fontId="2" fillId="4" borderId="0" xfId="0" applyFont="1" applyFill="1"/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4.516493750001" createdVersion="8" refreshedVersion="8" minRefreshableVersion="3" recordCount="34" xr:uid="{11280813-C6BF-4447-ACBB-A3B3349F0802}">
  <cacheSource type="worksheet">
    <worksheetSource ref="A1:K34" sheet="GERAL"/>
  </cacheSource>
  <cacheFields count="6">
    <cacheField name="Name" numFmtId="0">
      <sharedItems count="34">
        <s v="Adriana Ribeiro Machado Urbano"/>
        <s v="Giuliana Petroni"/>
        <s v="Luciana Lasmar"/>
        <s v="Flavia S. L. Antonucci Demetrio"/>
        <s v="Flavia Petroni"/>
        <s v="Tatiane Sinhori"/>
        <s v="Marcelo Augusto Andrade Antunes de Oliveira"/>
        <s v="Liliam Kudrevicius de Freitas"/>
        <s v="Eduardo Jorge Pyrrho Barbosa"/>
        <s v="Antônio Rampazzo Neto"/>
        <s v="Raquel Montrond Figueroa"/>
        <s v="Cláudio Roberto Wolff"/>
        <s v="César Chimin"/>
        <s v="Ademir Lopes"/>
        <s v="Luciane Ribeiro"/>
        <s v="Samira"/>
        <s v="Ana Lazaro"/>
        <s v="Renata Sorrilha"/>
        <s v="Kleber Santos"/>
        <s v="Adriane Maeda"/>
        <s v="Marco"/>
        <s v="Jussara"/>
        <s v="Daniela"/>
        <s v="Fred"/>
        <s v="Marcela marques"/>
        <s v="Pietro "/>
        <s v="Elisabete Almeida"/>
        <s v="Aline Mangueira"/>
        <s v="Maiara Michalowicz"/>
        <s v="Ana Victoria"/>
        <s v="Louise"/>
        <s v="Alexander"/>
        <s v="Ana Martins"/>
        <s v="Gisele"/>
      </sharedItems>
    </cacheField>
    <cacheField name="Upline Agent" numFmtId="0">
      <sharedItems/>
    </cacheField>
    <cacheField name="Personal Credits Actual" numFmtId="0">
      <sharedItems containsString="0" containsBlank="1" containsNumber="1" minValue="454.55" maxValue="53095.32"/>
    </cacheField>
    <cacheField name="MENTORIAS" numFmtId="0">
      <sharedItems count="4">
        <s v="M4"/>
        <s v="M3"/>
        <s v="M2"/>
        <s v="M0"/>
      </sharedItems>
    </cacheField>
    <cacheField name="NOME" numFmtId="0">
      <sharedItems/>
    </cacheField>
    <cacheField name="QUE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s v="Fernanda Pontoni"/>
    <n v="53095.32"/>
    <x v="0"/>
    <s v="BLUE AO BLACK"/>
    <s v="FÊ, MILTON E MARQUINHO"/>
  </r>
  <r>
    <x v="1"/>
    <s v="Flavia Petroni"/>
    <n v="8468.9599999999991"/>
    <x v="1"/>
    <s v="20K AO  BLUE"/>
    <s v="LÊ, LEMIKA, AGUI E VINI"/>
  </r>
  <r>
    <x v="2"/>
    <s v="Adriana Ribeiro Machado Urbano"/>
    <n v="6486.92"/>
    <x v="2"/>
    <s v="5 CLIENTES AO 20K"/>
    <s v="TACI, VICTOR E MANU"/>
  </r>
  <r>
    <x v="3"/>
    <s v="Fernanda Pontoni"/>
    <n v="6091.29"/>
    <x v="2"/>
    <s v="5 CLIENTES AO 20K"/>
    <s v="TACI, VICTOR E MANU"/>
  </r>
  <r>
    <x v="4"/>
    <s v="Fernanda Pontoni"/>
    <n v="5011.13"/>
    <x v="1"/>
    <s v="20K AO  BLUE"/>
    <s v="LÊ, LEMIKA, AGUI E VINI"/>
  </r>
  <r>
    <x v="5"/>
    <s v="Fernanda Pontoni"/>
    <n v="2960.1"/>
    <x v="2"/>
    <s v="5 CLIENTES AO 20K"/>
    <s v="TACI, VICTOR E MANU"/>
  </r>
  <r>
    <x v="6"/>
    <s v="Eduardo Jorge Pyrrho Barbosa"/>
    <n v="2097"/>
    <x v="2"/>
    <s v="5 CLIENTES AO 20K"/>
    <s v="TACI, VICTOR E MANU"/>
  </r>
  <r>
    <x v="7"/>
    <s v="Fernanda Pontoni"/>
    <n v="2011.91"/>
    <x v="2"/>
    <s v="5 CLIENTES AO 20K"/>
    <s v="TACI, VICTOR E MANU"/>
  </r>
  <r>
    <x v="8"/>
    <s v="Fernanda Pontoni"/>
    <n v="1877.37"/>
    <x v="0"/>
    <s v="BLUE AO BLACK"/>
    <s v="FÊ, MILTON E MARQUINHO"/>
  </r>
  <r>
    <x v="9"/>
    <s v="Fernanda Pontoni"/>
    <n v="1325.23"/>
    <x v="2"/>
    <s v="5 CLIENTES AO 20K"/>
    <s v="TACI, VICTOR E MANU"/>
  </r>
  <r>
    <x v="10"/>
    <s v="Fernanda Pontoni"/>
    <n v="665.08"/>
    <x v="2"/>
    <s v="5 CLIENTES AO 20K"/>
    <s v="TACI, VICTOR E MANU"/>
  </r>
  <r>
    <x v="11"/>
    <s v="Fernanda Pontoni"/>
    <n v="454.55"/>
    <x v="2"/>
    <s v="5 CLIENTES AO 20K"/>
    <s v="TACI, VICTOR E MANU"/>
  </r>
  <r>
    <x v="12"/>
    <s v="Fernanda Pontoni"/>
    <m/>
    <x v="2"/>
    <s v="5 CLIENTES AO 20K"/>
    <s v="TACI, VICTOR E MANU"/>
  </r>
  <r>
    <x v="13"/>
    <s v="Adriana Ribeiro Machado Urbano"/>
    <m/>
    <x v="3"/>
    <s v="LICENÇA"/>
    <s v="JOSÉ MAURÍCIO"/>
  </r>
  <r>
    <x v="14"/>
    <s v="Fernanda Pontoni"/>
    <m/>
    <x v="3"/>
    <s v="LICENÇA"/>
    <s v="JOSÉ MAURÍCIO"/>
  </r>
  <r>
    <x v="15"/>
    <s v="Adriana Ribeiro Machado Urbano"/>
    <m/>
    <x v="3"/>
    <s v="LICENÇA"/>
    <s v="JOSÉ MAURÍCIO"/>
  </r>
  <r>
    <x v="16"/>
    <s v="Fernanda Pontoni"/>
    <m/>
    <x v="3"/>
    <s v="LICENÇA"/>
    <s v="JOSÉ MAURÍCIO"/>
  </r>
  <r>
    <x v="17"/>
    <s v="Luciana Lasmar"/>
    <m/>
    <x v="3"/>
    <s v="LICENÇA"/>
    <s v="JOSÉ MAURÍCIO"/>
  </r>
  <r>
    <x v="18"/>
    <s v="Fernanda Pontoni"/>
    <m/>
    <x v="3"/>
    <s v="LICENÇA"/>
    <s v="JOSÉ MAURÍCIO"/>
  </r>
  <r>
    <x v="19"/>
    <s v="Fernanda Pontoni"/>
    <m/>
    <x v="3"/>
    <s v="LICENÇA"/>
    <s v="JOSÉ MAURÍCIO"/>
  </r>
  <r>
    <x v="20"/>
    <s v="Tatiane Sinhori"/>
    <m/>
    <x v="3"/>
    <s v="LICENÇA"/>
    <s v="JOSÉ MAURÍCIO"/>
  </r>
  <r>
    <x v="21"/>
    <s v="Fernanda Pontoni"/>
    <m/>
    <x v="3"/>
    <s v="LICENÇA"/>
    <s v="JOSÉ MAURÍCIO"/>
  </r>
  <r>
    <x v="22"/>
    <s v="Fernanda Pontoni"/>
    <m/>
    <x v="3"/>
    <s v="LICENÇA"/>
    <s v="JOSÉ MAURÍCIO"/>
  </r>
  <r>
    <x v="23"/>
    <s v="Fernanda Pontoni"/>
    <m/>
    <x v="3"/>
    <s v="LICENÇA"/>
    <s v="JOSÉ MAURÍCIO"/>
  </r>
  <r>
    <x v="24"/>
    <s v="Fernanda Pontoni"/>
    <m/>
    <x v="3"/>
    <s v="LICENÇA"/>
    <s v="JOSÉ MAURÍCIO"/>
  </r>
  <r>
    <x v="25"/>
    <s v="Antônio Rampazzo Neto"/>
    <m/>
    <x v="3"/>
    <s v="LICENÇA"/>
    <s v="JOSÉ MAURÍCIO"/>
  </r>
  <r>
    <x v="26"/>
    <s v="Fernanda Pontoni"/>
    <m/>
    <x v="3"/>
    <s v="LICENÇA"/>
    <s v="JOSÉ MAURÍCIO"/>
  </r>
  <r>
    <x v="27"/>
    <s v="Fernanda Pontoni"/>
    <m/>
    <x v="3"/>
    <s v="LICENÇA"/>
    <s v="JOSÉ MAURÍCIO"/>
  </r>
  <r>
    <x v="28"/>
    <s v="Fernanda Pontoni"/>
    <m/>
    <x v="3"/>
    <s v="LICENÇA"/>
    <s v="JOSÉ MAURÍCIO"/>
  </r>
  <r>
    <x v="29"/>
    <s v="Fernanda Pontoni"/>
    <m/>
    <x v="3"/>
    <s v="LICENÇA"/>
    <s v="JOSÉ MAURÍCIO"/>
  </r>
  <r>
    <x v="30"/>
    <s v="Fernanda Pontoni"/>
    <m/>
    <x v="3"/>
    <s v="LICENÇA"/>
    <s v="JOSÉ MAURÍCIO"/>
  </r>
  <r>
    <x v="31"/>
    <s v="Fernanda Pontoni"/>
    <m/>
    <x v="3"/>
    <s v="LICENÇA"/>
    <s v="JOSÉ MAURÍCIO"/>
  </r>
  <r>
    <x v="32"/>
    <s v="Fernanda Pontoni"/>
    <m/>
    <x v="3"/>
    <s v="LICENÇA"/>
    <s v="JOSÉ MAURÍCIO"/>
  </r>
  <r>
    <x v="33"/>
    <s v="Adriana Ribeiro Machado Urbano"/>
    <m/>
    <x v="3"/>
    <s v="LICENÇA"/>
    <s v="JOSÉ MAURÍCI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8FCB6-3D1C-C347-A43F-E31F82AF394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40" firstHeaderRow="1" firstDataRow="1" firstDataCol="1"/>
  <pivotFields count="6">
    <pivotField axis="axisRow" showAll="0">
      <items count="35">
        <item x="13"/>
        <item x="0"/>
        <item x="19"/>
        <item x="31"/>
        <item x="27"/>
        <item x="16"/>
        <item x="32"/>
        <item x="29"/>
        <item x="9"/>
        <item x="12"/>
        <item x="11"/>
        <item x="22"/>
        <item x="8"/>
        <item x="26"/>
        <item x="4"/>
        <item x="3"/>
        <item x="23"/>
        <item x="33"/>
        <item x="1"/>
        <item x="21"/>
        <item x="18"/>
        <item x="7"/>
        <item x="30"/>
        <item x="2"/>
        <item x="14"/>
        <item x="28"/>
        <item x="24"/>
        <item x="6"/>
        <item x="20"/>
        <item x="25"/>
        <item x="10"/>
        <item x="17"/>
        <item x="15"/>
        <item x="5"/>
        <item t="default"/>
      </items>
    </pivotField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2">
    <field x="3"/>
    <field x="0"/>
  </rowFields>
  <rowItems count="39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11"/>
    </i>
    <i r="1">
      <x v="13"/>
    </i>
    <i r="1">
      <x v="16"/>
    </i>
    <i r="1">
      <x v="17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8"/>
    </i>
    <i r="1">
      <x v="29"/>
    </i>
    <i r="1">
      <x v="31"/>
    </i>
    <i r="1">
      <x v="32"/>
    </i>
    <i>
      <x v="1"/>
    </i>
    <i r="1">
      <x v="8"/>
    </i>
    <i r="1">
      <x v="9"/>
    </i>
    <i r="1">
      <x v="10"/>
    </i>
    <i r="1">
      <x v="15"/>
    </i>
    <i r="1">
      <x v="21"/>
    </i>
    <i r="1">
      <x v="23"/>
    </i>
    <i r="1">
      <x v="27"/>
    </i>
    <i r="1">
      <x v="30"/>
    </i>
    <i r="1">
      <x v="33"/>
    </i>
    <i>
      <x v="2"/>
    </i>
    <i r="1">
      <x v="14"/>
    </i>
    <i r="1">
      <x v="18"/>
    </i>
    <i>
      <x v="3"/>
    </i>
    <i r="1">
      <x v="1"/>
    </i>
    <i r="1">
      <x v="12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2C37-0F96-A441-92D3-E41324240CBB}">
  <dimension ref="A1:M34"/>
  <sheetViews>
    <sheetView showGridLines="0"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baseColWidth="10" defaultColWidth="8.83203125" defaultRowHeight="15" x14ac:dyDescent="0.2"/>
  <cols>
    <col min="1" max="1" width="36.33203125" bestFit="1" customWidth="1"/>
    <col min="2" max="6" width="15.5" customWidth="1"/>
    <col min="7" max="7" width="25.83203125" customWidth="1"/>
    <col min="8" max="8" width="18.1640625" customWidth="1"/>
    <col min="9" max="9" width="10.83203125" style="8" customWidth="1"/>
    <col min="10" max="10" width="18.5" customWidth="1"/>
    <col min="11" max="11" width="22.6640625" customWidth="1"/>
    <col min="12" max="12" width="15.1640625" customWidth="1"/>
    <col min="13" max="13" width="64.6640625" customWidth="1"/>
  </cols>
  <sheetData>
    <row r="1" spans="1:13" ht="35" customHeight="1" x14ac:dyDescent="0.2">
      <c r="A1" s="1" t="s">
        <v>0</v>
      </c>
      <c r="B1" s="12" t="s">
        <v>76</v>
      </c>
      <c r="C1" s="12" t="s">
        <v>91</v>
      </c>
      <c r="D1" s="12" t="s">
        <v>75</v>
      </c>
      <c r="E1" s="12" t="s">
        <v>80</v>
      </c>
      <c r="F1" s="18" t="s">
        <v>87</v>
      </c>
      <c r="G1" s="1" t="s">
        <v>1</v>
      </c>
      <c r="H1" s="12" t="s">
        <v>74</v>
      </c>
      <c r="I1" s="1" t="s">
        <v>18</v>
      </c>
      <c r="J1" s="1" t="s">
        <v>30</v>
      </c>
      <c r="K1" s="1" t="s">
        <v>29</v>
      </c>
      <c r="L1" s="12" t="s">
        <v>63</v>
      </c>
      <c r="M1" s="12" t="s">
        <v>65</v>
      </c>
    </row>
    <row r="2" spans="1:13" s="13" customFormat="1" x14ac:dyDescent="0.2">
      <c r="A2" s="13" t="s">
        <v>7</v>
      </c>
      <c r="B2" s="14" t="s">
        <v>77</v>
      </c>
      <c r="C2" s="14" t="s">
        <v>78</v>
      </c>
      <c r="D2" s="14" t="s">
        <v>89</v>
      </c>
      <c r="E2" s="14" t="s">
        <v>81</v>
      </c>
      <c r="F2" s="19" t="s">
        <v>82</v>
      </c>
      <c r="G2" s="13" t="s">
        <v>2</v>
      </c>
      <c r="H2" s="15">
        <v>53095.32</v>
      </c>
      <c r="I2" s="16" t="s">
        <v>15</v>
      </c>
      <c r="J2" s="14" t="s">
        <v>22</v>
      </c>
      <c r="K2" s="14" t="s">
        <v>28</v>
      </c>
      <c r="L2" s="14" t="s">
        <v>71</v>
      </c>
      <c r="M2" s="14" t="s">
        <v>70</v>
      </c>
    </row>
    <row r="3" spans="1:13" s="2" customFormat="1" x14ac:dyDescent="0.2">
      <c r="A3" s="11" t="s">
        <v>86</v>
      </c>
      <c r="B3" s="11" t="s">
        <v>77</v>
      </c>
      <c r="C3" s="11" t="s">
        <v>79</v>
      </c>
      <c r="D3" s="11" t="s">
        <v>85</v>
      </c>
      <c r="E3" s="11" t="s">
        <v>81</v>
      </c>
      <c r="F3" s="20" t="s">
        <v>77</v>
      </c>
      <c r="G3" s="2" t="s">
        <v>2</v>
      </c>
      <c r="H3" s="9">
        <v>8468.9599999999991</v>
      </c>
      <c r="I3" s="10" t="s">
        <v>21</v>
      </c>
      <c r="J3" s="11" t="s">
        <v>23</v>
      </c>
      <c r="K3" s="11" t="s">
        <v>27</v>
      </c>
      <c r="L3" s="11" t="s">
        <v>73</v>
      </c>
      <c r="M3" s="11" t="s">
        <v>69</v>
      </c>
    </row>
    <row r="4" spans="1:13" s="13" customFormat="1" x14ac:dyDescent="0.2">
      <c r="A4" s="13" t="s">
        <v>62</v>
      </c>
      <c r="B4" s="14" t="s">
        <v>83</v>
      </c>
      <c r="C4" s="14" t="s">
        <v>78</v>
      </c>
      <c r="D4" s="14" t="s">
        <v>89</v>
      </c>
      <c r="E4" s="14" t="s">
        <v>84</v>
      </c>
      <c r="F4" s="19" t="s">
        <v>82</v>
      </c>
      <c r="G4" s="13" t="s">
        <v>2</v>
      </c>
      <c r="H4" s="15"/>
      <c r="I4" s="16" t="s">
        <v>21</v>
      </c>
      <c r="J4" s="14" t="s">
        <v>23</v>
      </c>
      <c r="K4" s="14" t="s">
        <v>27</v>
      </c>
      <c r="L4" s="14" t="s">
        <v>73</v>
      </c>
      <c r="M4" s="14" t="s">
        <v>69</v>
      </c>
    </row>
    <row r="5" spans="1:13" s="13" customFormat="1" x14ac:dyDescent="0.2">
      <c r="A5" s="13" t="s">
        <v>6</v>
      </c>
      <c r="B5" s="14" t="s">
        <v>77</v>
      </c>
      <c r="C5" s="14" t="s">
        <v>78</v>
      </c>
      <c r="D5" s="14" t="s">
        <v>88</v>
      </c>
      <c r="E5" s="14" t="s">
        <v>81</v>
      </c>
      <c r="F5" s="19" t="s">
        <v>82</v>
      </c>
      <c r="G5" s="13" t="s">
        <v>7</v>
      </c>
      <c r="H5" s="15">
        <v>6486.92</v>
      </c>
      <c r="I5" s="16" t="s">
        <v>16</v>
      </c>
      <c r="J5" s="14" t="s">
        <v>24</v>
      </c>
      <c r="K5" s="14" t="s">
        <v>26</v>
      </c>
      <c r="L5" s="14" t="s">
        <v>71</v>
      </c>
      <c r="M5" s="14" t="s">
        <v>68</v>
      </c>
    </row>
    <row r="6" spans="1:13" s="13" customFormat="1" x14ac:dyDescent="0.2">
      <c r="A6" s="13" t="s">
        <v>13</v>
      </c>
      <c r="B6" s="14" t="s">
        <v>77</v>
      </c>
      <c r="C6" s="14" t="s">
        <v>78</v>
      </c>
      <c r="D6" s="14" t="s">
        <v>88</v>
      </c>
      <c r="E6" s="14" t="s">
        <v>81</v>
      </c>
      <c r="F6" s="19" t="s">
        <v>82</v>
      </c>
      <c r="G6" s="13" t="s">
        <v>2</v>
      </c>
      <c r="H6" s="15">
        <v>6091.29</v>
      </c>
      <c r="I6" s="16" t="s">
        <v>16</v>
      </c>
      <c r="J6" s="14" t="s">
        <v>24</v>
      </c>
      <c r="K6" s="14" t="s">
        <v>26</v>
      </c>
      <c r="L6" s="14" t="s">
        <v>71</v>
      </c>
      <c r="M6" s="14" t="s">
        <v>68</v>
      </c>
    </row>
    <row r="7" spans="1:13" s="13" customFormat="1" x14ac:dyDescent="0.2">
      <c r="A7" s="13" t="s">
        <v>12</v>
      </c>
      <c r="B7" s="14" t="s">
        <v>77</v>
      </c>
      <c r="C7" s="14" t="s">
        <v>78</v>
      </c>
      <c r="D7" s="14" t="s">
        <v>88</v>
      </c>
      <c r="E7" s="14" t="s">
        <v>81</v>
      </c>
      <c r="F7" s="19" t="s">
        <v>82</v>
      </c>
      <c r="G7" s="13" t="s">
        <v>2</v>
      </c>
      <c r="H7" s="15">
        <v>2960.1</v>
      </c>
      <c r="I7" s="16" t="s">
        <v>16</v>
      </c>
      <c r="J7" s="14" t="s">
        <v>24</v>
      </c>
      <c r="K7" s="14" t="s">
        <v>26</v>
      </c>
      <c r="L7" s="14" t="s">
        <v>71</v>
      </c>
      <c r="M7" s="14" t="s">
        <v>68</v>
      </c>
    </row>
    <row r="8" spans="1:13" s="13" customFormat="1" x14ac:dyDescent="0.2">
      <c r="A8" s="13" t="s">
        <v>3</v>
      </c>
      <c r="B8" s="14" t="s">
        <v>77</v>
      </c>
      <c r="C8" s="14" t="s">
        <v>78</v>
      </c>
      <c r="D8" s="14" t="s">
        <v>88</v>
      </c>
      <c r="E8" s="14" t="s">
        <v>81</v>
      </c>
      <c r="F8" s="19" t="s">
        <v>82</v>
      </c>
      <c r="G8" s="13" t="s">
        <v>4</v>
      </c>
      <c r="H8" s="15">
        <v>2097</v>
      </c>
      <c r="I8" s="16" t="s">
        <v>16</v>
      </c>
      <c r="J8" s="14" t="s">
        <v>24</v>
      </c>
      <c r="K8" s="14" t="s">
        <v>26</v>
      </c>
      <c r="L8" s="14" t="s">
        <v>71</v>
      </c>
      <c r="M8" s="14" t="s">
        <v>68</v>
      </c>
    </row>
    <row r="9" spans="1:13" s="13" customFormat="1" x14ac:dyDescent="0.2">
      <c r="A9" s="13" t="s">
        <v>5</v>
      </c>
      <c r="B9" s="14" t="s">
        <v>77</v>
      </c>
      <c r="C9" s="14" t="s">
        <v>78</v>
      </c>
      <c r="D9" s="14" t="s">
        <v>88</v>
      </c>
      <c r="E9" s="14" t="s">
        <v>81</v>
      </c>
      <c r="F9" s="19" t="s">
        <v>82</v>
      </c>
      <c r="G9" s="13" t="s">
        <v>2</v>
      </c>
      <c r="H9" s="15">
        <v>2011.91</v>
      </c>
      <c r="I9" s="16" t="s">
        <v>16</v>
      </c>
      <c r="J9" s="14" t="s">
        <v>24</v>
      </c>
      <c r="K9" s="14" t="s">
        <v>26</v>
      </c>
      <c r="L9" s="14" t="s">
        <v>71</v>
      </c>
      <c r="M9" s="14" t="s">
        <v>68</v>
      </c>
    </row>
    <row r="10" spans="1:13" s="2" customFormat="1" x14ac:dyDescent="0.2">
      <c r="A10" s="2" t="s">
        <v>4</v>
      </c>
      <c r="B10" s="11" t="s">
        <v>77</v>
      </c>
      <c r="C10" s="11" t="s">
        <v>78</v>
      </c>
      <c r="D10" s="11" t="s">
        <v>89</v>
      </c>
      <c r="E10" s="11" t="s">
        <v>84</v>
      </c>
      <c r="F10" s="20" t="s">
        <v>77</v>
      </c>
      <c r="G10" s="2" t="s">
        <v>2</v>
      </c>
      <c r="H10" s="9">
        <v>1877.37</v>
      </c>
      <c r="I10" s="10" t="s">
        <v>15</v>
      </c>
      <c r="J10" s="11" t="s">
        <v>22</v>
      </c>
      <c r="K10" s="11" t="s">
        <v>28</v>
      </c>
      <c r="L10" s="11" t="s">
        <v>71</v>
      </c>
      <c r="M10" s="11" t="s">
        <v>70</v>
      </c>
    </row>
    <row r="11" spans="1:13" s="13" customFormat="1" x14ac:dyDescent="0.2">
      <c r="A11" s="13" t="s">
        <v>11</v>
      </c>
      <c r="B11" s="14" t="s">
        <v>77</v>
      </c>
      <c r="C11" s="14" t="s">
        <v>78</v>
      </c>
      <c r="D11" s="14" t="s">
        <v>88</v>
      </c>
      <c r="E11" s="14" t="s">
        <v>81</v>
      </c>
      <c r="F11" s="19" t="s">
        <v>82</v>
      </c>
      <c r="G11" s="13" t="s">
        <v>2</v>
      </c>
      <c r="H11" s="15">
        <v>1325.23</v>
      </c>
      <c r="I11" s="16" t="s">
        <v>16</v>
      </c>
      <c r="J11" s="14" t="s">
        <v>24</v>
      </c>
      <c r="K11" s="14" t="s">
        <v>26</v>
      </c>
      <c r="L11" s="14" t="s">
        <v>71</v>
      </c>
      <c r="M11" s="14" t="s">
        <v>68</v>
      </c>
    </row>
    <row r="12" spans="1:13" s="13" customFormat="1" x14ac:dyDescent="0.2">
      <c r="A12" s="13" t="s">
        <v>8</v>
      </c>
      <c r="B12" s="14" t="s">
        <v>77</v>
      </c>
      <c r="C12" s="14" t="s">
        <v>78</v>
      </c>
      <c r="D12" s="14" t="s">
        <v>88</v>
      </c>
      <c r="E12" s="14" t="s">
        <v>81</v>
      </c>
      <c r="F12" s="19" t="s">
        <v>82</v>
      </c>
      <c r="G12" s="13" t="s">
        <v>2</v>
      </c>
      <c r="H12" s="15">
        <v>665.08</v>
      </c>
      <c r="I12" s="16" t="s">
        <v>16</v>
      </c>
      <c r="J12" s="14" t="s">
        <v>24</v>
      </c>
      <c r="K12" s="14" t="s">
        <v>26</v>
      </c>
      <c r="L12" s="14" t="s">
        <v>71</v>
      </c>
      <c r="M12" s="14" t="s">
        <v>68</v>
      </c>
    </row>
    <row r="13" spans="1:13" s="13" customFormat="1" x14ac:dyDescent="0.2">
      <c r="A13" s="13" t="s">
        <v>14</v>
      </c>
      <c r="B13" s="14" t="s">
        <v>77</v>
      </c>
      <c r="C13" s="14" t="s">
        <v>79</v>
      </c>
      <c r="D13" s="14" t="s">
        <v>88</v>
      </c>
      <c r="E13" s="14" t="s">
        <v>81</v>
      </c>
      <c r="F13" s="19" t="s">
        <v>82</v>
      </c>
      <c r="G13" s="13" t="s">
        <v>2</v>
      </c>
      <c r="H13" s="15">
        <v>454.55</v>
      </c>
      <c r="I13" s="16" t="s">
        <v>17</v>
      </c>
      <c r="J13" s="14" t="s">
        <v>25</v>
      </c>
      <c r="K13" s="14" t="s">
        <v>64</v>
      </c>
      <c r="L13" s="14" t="s">
        <v>71</v>
      </c>
      <c r="M13" s="14" t="s">
        <v>67</v>
      </c>
    </row>
    <row r="14" spans="1:13" s="2" customFormat="1" x14ac:dyDescent="0.2">
      <c r="A14" s="2" t="s">
        <v>55</v>
      </c>
      <c r="B14" s="11" t="s">
        <v>77</v>
      </c>
      <c r="C14" s="11" t="s">
        <v>79</v>
      </c>
      <c r="D14" s="11" t="s">
        <v>85</v>
      </c>
      <c r="E14" s="11" t="s">
        <v>81</v>
      </c>
      <c r="F14" s="20" t="s">
        <v>77</v>
      </c>
      <c r="G14" s="2" t="s">
        <v>2</v>
      </c>
      <c r="I14" s="10" t="s">
        <v>21</v>
      </c>
      <c r="J14" s="11" t="s">
        <v>23</v>
      </c>
      <c r="K14" s="11" t="s">
        <v>27</v>
      </c>
      <c r="L14" s="11" t="s">
        <v>73</v>
      </c>
      <c r="M14" s="11" t="s">
        <v>69</v>
      </c>
    </row>
    <row r="15" spans="1:13" s="14" customFormat="1" x14ac:dyDescent="0.2">
      <c r="A15" s="13" t="s">
        <v>44</v>
      </c>
      <c r="B15" s="14" t="s">
        <v>90</v>
      </c>
      <c r="C15" s="14" t="s">
        <v>79</v>
      </c>
      <c r="D15" s="14" t="s">
        <v>88</v>
      </c>
      <c r="E15" s="14" t="s">
        <v>81</v>
      </c>
      <c r="F15" s="19" t="s">
        <v>82</v>
      </c>
      <c r="G15" s="13" t="s">
        <v>7</v>
      </c>
      <c r="I15" s="16" t="s">
        <v>17</v>
      </c>
      <c r="J15" s="14" t="s">
        <v>25</v>
      </c>
      <c r="K15" s="14" t="s">
        <v>64</v>
      </c>
      <c r="L15" s="14" t="s">
        <v>71</v>
      </c>
      <c r="M15" s="14" t="s">
        <v>67</v>
      </c>
    </row>
    <row r="16" spans="1:13" s="14" customFormat="1" x14ac:dyDescent="0.2">
      <c r="A16" s="13" t="s">
        <v>45</v>
      </c>
      <c r="B16" s="14" t="s">
        <v>82</v>
      </c>
      <c r="D16" s="13"/>
      <c r="E16" s="13"/>
      <c r="F16" s="19" t="s">
        <v>82</v>
      </c>
      <c r="G16" s="13" t="s">
        <v>2</v>
      </c>
      <c r="I16" s="17" t="s">
        <v>41</v>
      </c>
      <c r="J16" s="14" t="s">
        <v>42</v>
      </c>
      <c r="K16" s="14" t="s">
        <v>43</v>
      </c>
      <c r="L16" s="14" t="s">
        <v>72</v>
      </c>
      <c r="M16" s="14" t="s">
        <v>66</v>
      </c>
    </row>
    <row r="17" spans="1:13" s="14" customFormat="1" x14ac:dyDescent="0.2">
      <c r="A17" s="13" t="s">
        <v>46</v>
      </c>
      <c r="B17" s="14" t="s">
        <v>82</v>
      </c>
      <c r="D17" s="13"/>
      <c r="E17" s="13"/>
      <c r="F17" s="19" t="s">
        <v>82</v>
      </c>
      <c r="G17" s="13" t="s">
        <v>7</v>
      </c>
      <c r="I17" s="17" t="s">
        <v>41</v>
      </c>
      <c r="J17" s="14" t="s">
        <v>42</v>
      </c>
      <c r="K17" s="14" t="s">
        <v>43</v>
      </c>
      <c r="L17" s="14" t="s">
        <v>72</v>
      </c>
      <c r="M17" s="14" t="s">
        <v>66</v>
      </c>
    </row>
    <row r="18" spans="1:13" s="14" customFormat="1" x14ac:dyDescent="0.2">
      <c r="A18" s="13" t="s">
        <v>48</v>
      </c>
      <c r="B18" s="14" t="s">
        <v>82</v>
      </c>
      <c r="C18" s="13"/>
      <c r="D18" s="13"/>
      <c r="E18" s="13"/>
      <c r="F18" s="19" t="s">
        <v>82</v>
      </c>
      <c r="G18" s="13" t="s">
        <v>6</v>
      </c>
      <c r="I18" s="17" t="s">
        <v>41</v>
      </c>
      <c r="J18" s="14" t="s">
        <v>42</v>
      </c>
      <c r="K18" s="14" t="s">
        <v>43</v>
      </c>
      <c r="L18" s="14" t="s">
        <v>72</v>
      </c>
      <c r="M18" s="14" t="s">
        <v>66</v>
      </c>
    </row>
    <row r="19" spans="1:13" s="11" customFormat="1" x14ac:dyDescent="0.2">
      <c r="A19" s="11" t="s">
        <v>54</v>
      </c>
      <c r="B19" s="11" t="s">
        <v>82</v>
      </c>
      <c r="F19" s="20" t="s">
        <v>77</v>
      </c>
      <c r="G19" s="2" t="s">
        <v>2</v>
      </c>
      <c r="I19" s="22" t="s">
        <v>41</v>
      </c>
      <c r="J19" s="11" t="s">
        <v>42</v>
      </c>
      <c r="K19" s="11" t="s">
        <v>43</v>
      </c>
      <c r="L19" s="11" t="s">
        <v>72</v>
      </c>
      <c r="M19" s="11" t="s">
        <v>66</v>
      </c>
    </row>
    <row r="20" spans="1:13" s="14" customFormat="1" x14ac:dyDescent="0.2">
      <c r="A20" s="13" t="s">
        <v>49</v>
      </c>
      <c r="B20" s="14" t="s">
        <v>82</v>
      </c>
      <c r="C20" s="13"/>
      <c r="D20" s="13"/>
      <c r="E20" s="13"/>
      <c r="F20" s="19" t="s">
        <v>82</v>
      </c>
      <c r="G20" s="13" t="s">
        <v>2</v>
      </c>
      <c r="I20" s="17" t="s">
        <v>41</v>
      </c>
      <c r="J20" s="14" t="s">
        <v>42</v>
      </c>
      <c r="K20" s="14" t="s">
        <v>43</v>
      </c>
      <c r="L20" s="14" t="s">
        <v>72</v>
      </c>
      <c r="M20" s="14" t="s">
        <v>66</v>
      </c>
    </row>
    <row r="21" spans="1:13" s="14" customFormat="1" x14ac:dyDescent="0.2">
      <c r="A21" s="14" t="s">
        <v>60</v>
      </c>
      <c r="B21" s="14" t="s">
        <v>82</v>
      </c>
      <c r="F21" s="19" t="s">
        <v>82</v>
      </c>
      <c r="G21" s="13" t="s">
        <v>12</v>
      </c>
      <c r="I21" s="17" t="s">
        <v>41</v>
      </c>
      <c r="J21" s="14" t="s">
        <v>42</v>
      </c>
      <c r="K21" s="14" t="s">
        <v>43</v>
      </c>
      <c r="L21" s="14" t="s">
        <v>72</v>
      </c>
      <c r="M21" s="14" t="s">
        <v>66</v>
      </c>
    </row>
    <row r="22" spans="1:13" s="14" customFormat="1" x14ac:dyDescent="0.2">
      <c r="A22" s="14" t="s">
        <v>58</v>
      </c>
      <c r="B22" s="14" t="s">
        <v>82</v>
      </c>
      <c r="F22" s="19" t="s">
        <v>82</v>
      </c>
      <c r="G22" s="13" t="s">
        <v>2</v>
      </c>
      <c r="I22" s="17" t="s">
        <v>41</v>
      </c>
      <c r="J22" s="14" t="s">
        <v>42</v>
      </c>
      <c r="K22" s="14" t="s">
        <v>43</v>
      </c>
      <c r="L22" s="14" t="s">
        <v>72</v>
      </c>
      <c r="M22" s="14" t="s">
        <v>66</v>
      </c>
    </row>
    <row r="23" spans="1:13" s="14" customFormat="1" x14ac:dyDescent="0.2">
      <c r="A23" s="14" t="s">
        <v>56</v>
      </c>
      <c r="B23" s="14" t="s">
        <v>82</v>
      </c>
      <c r="F23" s="19" t="s">
        <v>82</v>
      </c>
      <c r="G23" s="13" t="s">
        <v>2</v>
      </c>
      <c r="I23" s="17" t="s">
        <v>41</v>
      </c>
      <c r="J23" s="14" t="s">
        <v>42</v>
      </c>
      <c r="K23" s="14" t="s">
        <v>43</v>
      </c>
      <c r="L23" s="14" t="s">
        <v>72</v>
      </c>
      <c r="M23" s="14" t="s">
        <v>66</v>
      </c>
    </row>
    <row r="24" spans="1:13" s="11" customFormat="1" x14ac:dyDescent="0.2">
      <c r="A24" s="2" t="s">
        <v>33</v>
      </c>
      <c r="B24" s="11" t="s">
        <v>82</v>
      </c>
      <c r="C24" s="2"/>
      <c r="D24" s="2"/>
      <c r="E24" s="2"/>
      <c r="F24" s="20" t="s">
        <v>77</v>
      </c>
      <c r="G24" s="2" t="s">
        <v>2</v>
      </c>
      <c r="H24" s="21"/>
      <c r="I24" s="22" t="s">
        <v>41</v>
      </c>
      <c r="J24" s="11" t="s">
        <v>42</v>
      </c>
      <c r="K24" s="11" t="s">
        <v>43</v>
      </c>
      <c r="L24" s="11" t="s">
        <v>72</v>
      </c>
      <c r="M24" s="11" t="s">
        <v>66</v>
      </c>
    </row>
    <row r="25" spans="1:13" s="14" customFormat="1" x14ac:dyDescent="0.2">
      <c r="A25" s="14" t="s">
        <v>59</v>
      </c>
      <c r="B25" s="14" t="s">
        <v>82</v>
      </c>
      <c r="F25" s="19" t="s">
        <v>82</v>
      </c>
      <c r="G25" s="13" t="s">
        <v>2</v>
      </c>
      <c r="I25" s="17" t="s">
        <v>41</v>
      </c>
      <c r="J25" s="14" t="s">
        <v>42</v>
      </c>
      <c r="K25" s="14" t="s">
        <v>43</v>
      </c>
      <c r="L25" s="14" t="s">
        <v>72</v>
      </c>
      <c r="M25" s="14" t="s">
        <v>66</v>
      </c>
    </row>
    <row r="26" spans="1:13" s="14" customFormat="1" x14ac:dyDescent="0.2">
      <c r="A26" s="14" t="s">
        <v>61</v>
      </c>
      <c r="B26" s="14" t="s">
        <v>82</v>
      </c>
      <c r="F26" s="19" t="s">
        <v>82</v>
      </c>
      <c r="G26" s="13" t="s">
        <v>11</v>
      </c>
      <c r="I26" s="17" t="s">
        <v>41</v>
      </c>
      <c r="J26" s="14" t="s">
        <v>42</v>
      </c>
      <c r="K26" s="14" t="s">
        <v>43</v>
      </c>
      <c r="L26" s="14" t="s">
        <v>72</v>
      </c>
      <c r="M26" s="14" t="s">
        <v>66</v>
      </c>
    </row>
    <row r="27" spans="1:13" s="14" customFormat="1" x14ac:dyDescent="0.2">
      <c r="A27" s="13" t="s">
        <v>35</v>
      </c>
      <c r="B27" s="14" t="s">
        <v>82</v>
      </c>
      <c r="C27" s="13"/>
      <c r="D27" s="13"/>
      <c r="E27" s="13"/>
      <c r="F27" s="19" t="s">
        <v>82</v>
      </c>
      <c r="G27" s="13" t="s">
        <v>2</v>
      </c>
      <c r="I27" s="17" t="s">
        <v>41</v>
      </c>
      <c r="J27" s="14" t="s">
        <v>42</v>
      </c>
      <c r="K27" s="14" t="s">
        <v>43</v>
      </c>
      <c r="L27" s="14" t="s">
        <v>72</v>
      </c>
      <c r="M27" s="14" t="s">
        <v>66</v>
      </c>
    </row>
    <row r="28" spans="1:13" s="2" customFormat="1" x14ac:dyDescent="0.2">
      <c r="A28" s="2" t="s">
        <v>36</v>
      </c>
      <c r="B28" s="11" t="s">
        <v>82</v>
      </c>
      <c r="F28" s="20" t="s">
        <v>77</v>
      </c>
      <c r="G28" s="2" t="s">
        <v>2</v>
      </c>
      <c r="I28" s="22" t="s">
        <v>41</v>
      </c>
      <c r="J28" s="11" t="s">
        <v>42</v>
      </c>
      <c r="K28" s="11" t="s">
        <v>43</v>
      </c>
      <c r="L28" s="11" t="s">
        <v>72</v>
      </c>
      <c r="M28" s="11" t="s">
        <v>66</v>
      </c>
    </row>
    <row r="29" spans="1:13" s="13" customFormat="1" x14ac:dyDescent="0.2">
      <c r="A29" s="13" t="s">
        <v>37</v>
      </c>
      <c r="B29" s="14" t="s">
        <v>82</v>
      </c>
      <c r="F29" s="19" t="s">
        <v>82</v>
      </c>
      <c r="G29" s="13" t="s">
        <v>2</v>
      </c>
      <c r="I29" s="17" t="s">
        <v>41</v>
      </c>
      <c r="J29" s="14" t="s">
        <v>42</v>
      </c>
      <c r="K29" s="14" t="s">
        <v>43</v>
      </c>
      <c r="L29" s="14" t="s">
        <v>72</v>
      </c>
      <c r="M29" s="14" t="s">
        <v>66</v>
      </c>
    </row>
    <row r="30" spans="1:13" s="13" customFormat="1" x14ac:dyDescent="0.2">
      <c r="A30" s="14" t="s">
        <v>53</v>
      </c>
      <c r="B30" s="14" t="s">
        <v>82</v>
      </c>
      <c r="C30" s="14"/>
      <c r="D30" s="14"/>
      <c r="E30" s="14"/>
      <c r="F30" s="19" t="s">
        <v>82</v>
      </c>
      <c r="G30" s="13" t="s">
        <v>2</v>
      </c>
      <c r="I30" s="17" t="s">
        <v>41</v>
      </c>
      <c r="J30" s="14" t="s">
        <v>42</v>
      </c>
      <c r="K30" s="14" t="s">
        <v>43</v>
      </c>
      <c r="L30" s="14" t="s">
        <v>72</v>
      </c>
      <c r="M30" s="14" t="s">
        <v>66</v>
      </c>
    </row>
    <row r="31" spans="1:13" s="2" customFormat="1" x14ac:dyDescent="0.2">
      <c r="A31" s="2" t="s">
        <v>38</v>
      </c>
      <c r="B31" s="11" t="s">
        <v>82</v>
      </c>
      <c r="F31" s="20" t="s">
        <v>77</v>
      </c>
      <c r="G31" s="2" t="s">
        <v>2</v>
      </c>
      <c r="I31" s="22" t="s">
        <v>41</v>
      </c>
      <c r="J31" s="11" t="s">
        <v>42</v>
      </c>
      <c r="K31" s="11" t="s">
        <v>43</v>
      </c>
      <c r="L31" s="11" t="s">
        <v>72</v>
      </c>
      <c r="M31" s="11" t="s">
        <v>66</v>
      </c>
    </row>
    <row r="32" spans="1:13" s="2" customFormat="1" x14ac:dyDescent="0.2">
      <c r="A32" s="2" t="s">
        <v>39</v>
      </c>
      <c r="B32" s="11" t="s">
        <v>82</v>
      </c>
      <c r="F32" s="20" t="s">
        <v>77</v>
      </c>
      <c r="G32" s="2" t="s">
        <v>2</v>
      </c>
      <c r="I32" s="22" t="s">
        <v>41</v>
      </c>
      <c r="J32" s="11" t="s">
        <v>42</v>
      </c>
      <c r="K32" s="11" t="s">
        <v>43</v>
      </c>
      <c r="L32" s="11" t="s">
        <v>72</v>
      </c>
      <c r="M32" s="11" t="s">
        <v>66</v>
      </c>
    </row>
    <row r="33" spans="1:13" s="2" customFormat="1" x14ac:dyDescent="0.2">
      <c r="A33" s="11" t="s">
        <v>52</v>
      </c>
      <c r="B33" s="11" t="s">
        <v>82</v>
      </c>
      <c r="C33" s="11"/>
      <c r="D33" s="11"/>
      <c r="E33" s="11"/>
      <c r="F33" s="20" t="s">
        <v>77</v>
      </c>
      <c r="G33" s="2" t="s">
        <v>2</v>
      </c>
      <c r="I33" s="22" t="s">
        <v>41</v>
      </c>
      <c r="J33" s="11" t="s">
        <v>42</v>
      </c>
      <c r="K33" s="11" t="s">
        <v>43</v>
      </c>
      <c r="L33" s="11" t="s">
        <v>72</v>
      </c>
      <c r="M33" s="11" t="s">
        <v>66</v>
      </c>
    </row>
    <row r="34" spans="1:13" s="13" customFormat="1" x14ac:dyDescent="0.2">
      <c r="A34" s="14" t="s">
        <v>57</v>
      </c>
      <c r="B34" s="14" t="s">
        <v>82</v>
      </c>
      <c r="C34" s="14"/>
      <c r="D34" s="14"/>
      <c r="E34" s="14"/>
      <c r="F34" s="19" t="s">
        <v>82</v>
      </c>
      <c r="G34" s="13" t="s">
        <v>7</v>
      </c>
      <c r="I34" s="17" t="s">
        <v>41</v>
      </c>
      <c r="J34" s="14" t="s">
        <v>42</v>
      </c>
      <c r="K34" s="14" t="s">
        <v>43</v>
      </c>
      <c r="L34" s="14" t="s">
        <v>72</v>
      </c>
      <c r="M34" s="14" t="s">
        <v>66</v>
      </c>
    </row>
  </sheetData>
  <autoFilter ref="A1:M34" xr:uid="{F5842C37-0F96-A441-92D3-E41324240CBB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5DF1-675A-6847-AEC7-2D88A922580C}">
  <dimension ref="A1:A40"/>
  <sheetViews>
    <sheetView showGridLines="0" zoomScale="130" zoomScaleNormal="130" workbookViewId="0">
      <selection activeCell="D11" sqref="D11"/>
    </sheetView>
  </sheetViews>
  <sheetFormatPr baseColWidth="10" defaultRowHeight="15" x14ac:dyDescent="0.2"/>
  <cols>
    <col min="1" max="1" width="50.83203125" customWidth="1"/>
    <col min="2" max="2" width="17" bestFit="1" customWidth="1"/>
    <col min="3" max="5" width="3.6640625" bestFit="1" customWidth="1"/>
    <col min="6" max="6" width="10" bestFit="1" customWidth="1"/>
  </cols>
  <sheetData>
    <row r="1" spans="1:1" x14ac:dyDescent="0.2">
      <c r="A1" s="3" t="s">
        <v>19</v>
      </c>
    </row>
    <row r="2" spans="1:1" x14ac:dyDescent="0.2">
      <c r="A2" s="4" t="s">
        <v>41</v>
      </c>
    </row>
    <row r="3" spans="1:1" x14ac:dyDescent="0.2">
      <c r="A3" s="7" t="s">
        <v>44</v>
      </c>
    </row>
    <row r="4" spans="1:1" x14ac:dyDescent="0.2">
      <c r="A4" s="7" t="s">
        <v>49</v>
      </c>
    </row>
    <row r="5" spans="1:1" x14ac:dyDescent="0.2">
      <c r="A5" s="7" t="s">
        <v>39</v>
      </c>
    </row>
    <row r="6" spans="1:1" x14ac:dyDescent="0.2">
      <c r="A6" s="7" t="s">
        <v>36</v>
      </c>
    </row>
    <row r="7" spans="1:1" x14ac:dyDescent="0.2">
      <c r="A7" s="7" t="s">
        <v>47</v>
      </c>
    </row>
    <row r="8" spans="1:1" x14ac:dyDescent="0.2">
      <c r="A8" s="7" t="s">
        <v>52</v>
      </c>
    </row>
    <row r="9" spans="1:1" x14ac:dyDescent="0.2">
      <c r="A9" s="7" t="s">
        <v>53</v>
      </c>
    </row>
    <row r="10" spans="1:1" x14ac:dyDescent="0.2">
      <c r="A10" s="7" t="s">
        <v>32</v>
      </c>
    </row>
    <row r="11" spans="1:1" x14ac:dyDescent="0.2">
      <c r="A11" s="7" t="s">
        <v>35</v>
      </c>
    </row>
    <row r="12" spans="1:1" x14ac:dyDescent="0.2">
      <c r="A12" s="7" t="s">
        <v>33</v>
      </c>
    </row>
    <row r="13" spans="1:1" x14ac:dyDescent="0.2">
      <c r="A13" s="7" t="s">
        <v>40</v>
      </c>
    </row>
    <row r="14" spans="1:1" x14ac:dyDescent="0.2">
      <c r="A14" s="7" t="s">
        <v>31</v>
      </c>
    </row>
    <row r="15" spans="1:1" x14ac:dyDescent="0.2">
      <c r="A15" s="7" t="s">
        <v>54</v>
      </c>
    </row>
    <row r="16" spans="1:1" x14ac:dyDescent="0.2">
      <c r="A16" s="7" t="s">
        <v>38</v>
      </c>
    </row>
    <row r="17" spans="1:1" x14ac:dyDescent="0.2">
      <c r="A17" s="7" t="s">
        <v>45</v>
      </c>
    </row>
    <row r="18" spans="1:1" x14ac:dyDescent="0.2">
      <c r="A18" s="7" t="s">
        <v>37</v>
      </c>
    </row>
    <row r="19" spans="1:1" x14ac:dyDescent="0.2">
      <c r="A19" s="7" t="s">
        <v>34</v>
      </c>
    </row>
    <row r="20" spans="1:1" x14ac:dyDescent="0.2">
      <c r="A20" s="7" t="s">
        <v>50</v>
      </c>
    </row>
    <row r="21" spans="1:1" x14ac:dyDescent="0.2">
      <c r="A21" s="7" t="s">
        <v>51</v>
      </c>
    </row>
    <row r="22" spans="1:1" x14ac:dyDescent="0.2">
      <c r="A22" s="7" t="s">
        <v>48</v>
      </c>
    </row>
    <row r="23" spans="1:1" x14ac:dyDescent="0.2">
      <c r="A23" s="7" t="s">
        <v>46</v>
      </c>
    </row>
    <row r="24" spans="1:1" x14ac:dyDescent="0.2">
      <c r="A24" s="5" t="s">
        <v>16</v>
      </c>
    </row>
    <row r="25" spans="1:1" x14ac:dyDescent="0.2">
      <c r="A25" s="7" t="s">
        <v>11</v>
      </c>
    </row>
    <row r="26" spans="1:1" x14ac:dyDescent="0.2">
      <c r="A26" s="7" t="s">
        <v>55</v>
      </c>
    </row>
    <row r="27" spans="1:1" x14ac:dyDescent="0.2">
      <c r="A27" s="7" t="s">
        <v>14</v>
      </c>
    </row>
    <row r="28" spans="1:1" x14ac:dyDescent="0.2">
      <c r="A28" s="7" t="s">
        <v>13</v>
      </c>
    </row>
    <row r="29" spans="1:1" x14ac:dyDescent="0.2">
      <c r="A29" s="7" t="s">
        <v>5</v>
      </c>
    </row>
    <row r="30" spans="1:1" x14ac:dyDescent="0.2">
      <c r="A30" s="7" t="s">
        <v>6</v>
      </c>
    </row>
    <row r="31" spans="1:1" x14ac:dyDescent="0.2">
      <c r="A31" s="7" t="s">
        <v>3</v>
      </c>
    </row>
    <row r="32" spans="1:1" x14ac:dyDescent="0.2">
      <c r="A32" s="7" t="s">
        <v>8</v>
      </c>
    </row>
    <row r="33" spans="1:1" x14ac:dyDescent="0.2">
      <c r="A33" s="7" t="s">
        <v>12</v>
      </c>
    </row>
    <row r="34" spans="1:1" x14ac:dyDescent="0.2">
      <c r="A34" s="5" t="s">
        <v>21</v>
      </c>
    </row>
    <row r="35" spans="1:1" x14ac:dyDescent="0.2">
      <c r="A35" s="7" t="s">
        <v>9</v>
      </c>
    </row>
    <row r="36" spans="1:1" x14ac:dyDescent="0.2">
      <c r="A36" s="7" t="s">
        <v>10</v>
      </c>
    </row>
    <row r="37" spans="1:1" x14ac:dyDescent="0.2">
      <c r="A37" s="5" t="s">
        <v>15</v>
      </c>
    </row>
    <row r="38" spans="1:1" x14ac:dyDescent="0.2">
      <c r="A38" s="7" t="s">
        <v>7</v>
      </c>
    </row>
    <row r="39" spans="1:1" x14ac:dyDescent="0.2">
      <c r="A39" s="7" t="s">
        <v>4</v>
      </c>
    </row>
    <row r="40" spans="1:1" x14ac:dyDescent="0.2">
      <c r="A40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GERAL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Leandro Pontoni</cp:lastModifiedBy>
  <dcterms:created xsi:type="dcterms:W3CDTF">2025-11-23T18:59:25Z</dcterms:created>
  <dcterms:modified xsi:type="dcterms:W3CDTF">2026-03-04T19:14:30Z</dcterms:modified>
  <cp:category/>
</cp:coreProperties>
</file>